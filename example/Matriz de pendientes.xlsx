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Users\3811\Downloads\"/>
    </mc:Choice>
  </mc:AlternateContent>
  <xr:revisionPtr revIDLastSave="0" documentId="8_{FBF52B78-A55D-4820-9C14-E08346AD5ADE}" xr6:coauthVersionLast="47" xr6:coauthVersionMax="47" xr10:uidLastSave="{00000000-0000-0000-0000-000000000000}"/>
  <bookViews>
    <workbookView xWindow="-120" yWindow="-120" windowWidth="29040" windowHeight="15720" xr2:uid="{374AE05E-1D57-4718-A8F4-5B0B242D7E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16" i="1"/>
  <c r="H17" i="1"/>
  <c r="H18" i="1"/>
  <c r="H19" i="1"/>
  <c r="H15" i="1"/>
  <c r="C20" i="1"/>
  <c r="D20" i="1"/>
  <c r="E20" i="1"/>
  <c r="F20" i="1"/>
  <c r="G20" i="1"/>
  <c r="B20" i="1"/>
  <c r="E9" i="1"/>
  <c r="C8" i="1"/>
  <c r="B8" i="1"/>
  <c r="C7" i="1"/>
  <c r="B7" i="1"/>
  <c r="B6" i="1"/>
  <c r="F8" i="1"/>
  <c r="F18" i="1" s="1"/>
  <c r="F7" i="1"/>
  <c r="D9" i="1" s="1"/>
  <c r="E7" i="1"/>
  <c r="F6" i="1"/>
  <c r="C9" i="1" s="1"/>
  <c r="E6" i="1"/>
  <c r="D6" i="1"/>
  <c r="F5" i="1"/>
  <c r="F10" i="1" s="1"/>
  <c r="F11" i="1" s="1"/>
  <c r="E5" i="1"/>
  <c r="D5" i="1"/>
  <c r="C5" i="1"/>
  <c r="C10" i="1" l="1"/>
  <c r="C11" i="1" s="1"/>
  <c r="C19" i="1"/>
  <c r="C15" i="1"/>
  <c r="C17" i="1"/>
  <c r="F19" i="1"/>
  <c r="F16" i="1"/>
  <c r="F15" i="1"/>
  <c r="F17" i="1"/>
  <c r="D8" i="1"/>
  <c r="B9" i="1"/>
  <c r="E10" i="1"/>
  <c r="E11" i="1" s="1"/>
  <c r="E18" i="1" l="1"/>
  <c r="E15" i="1"/>
  <c r="E16" i="1"/>
  <c r="B10" i="1"/>
  <c r="B11" i="1" s="1"/>
  <c r="B19" i="1" s="1"/>
  <c r="D10" i="1"/>
  <c r="D11" i="1" s="1"/>
  <c r="E19" i="1"/>
  <c r="C18" i="1"/>
  <c r="C16" i="1"/>
  <c r="E17" i="1"/>
  <c r="D15" i="1" l="1"/>
  <c r="D17" i="1"/>
  <c r="D16" i="1"/>
  <c r="D19" i="1"/>
  <c r="G19" i="1" s="1"/>
  <c r="B28" i="1" s="1"/>
  <c r="D18" i="1"/>
  <c r="B15" i="1"/>
  <c r="G15" i="1" s="1"/>
  <c r="B18" i="1"/>
  <c r="G18" i="1" s="1"/>
  <c r="B27" i="1" s="1"/>
  <c r="B16" i="1"/>
  <c r="G16" i="1" s="1"/>
  <c r="B25" i="1" s="1"/>
  <c r="B17" i="1"/>
  <c r="G17" i="1" s="1"/>
  <c r="B26" i="1" s="1"/>
  <c r="B24" i="1" l="1"/>
  <c r="C24" i="1"/>
  <c r="D24" i="1" s="1"/>
  <c r="C26" i="1"/>
  <c r="D26" i="1" s="1"/>
  <c r="C25" i="1"/>
  <c r="D25" i="1" s="1"/>
  <c r="C27" i="1"/>
  <c r="D27" i="1" s="1"/>
  <c r="C28" i="1"/>
  <c r="D28" i="1" s="1"/>
  <c r="B32" i="1" l="1"/>
  <c r="B34" i="1" s="1"/>
  <c r="B36" i="1" s="1"/>
  <c r="B37" i="1" s="1"/>
</calcChain>
</file>

<file path=xl/sharedStrings.xml><?xml version="1.0" encoding="utf-8"?>
<sst xmlns="http://schemas.openxmlformats.org/spreadsheetml/2006/main" count="45" uniqueCount="30">
  <si>
    <t>PN1</t>
  </si>
  <si>
    <t>PN2</t>
  </si>
  <si>
    <t>PN3</t>
  </si>
  <si>
    <t>PN4</t>
  </si>
  <si>
    <t>PN5</t>
  </si>
  <si>
    <t>PN1 (0-5°)</t>
  </si>
  <si>
    <t>PN2 (5-15°)</t>
  </si>
  <si>
    <t>PN3 (15-25°)</t>
  </si>
  <si>
    <t>PN4 (25-45°)</t>
  </si>
  <si>
    <t>PN5 (&gt;45°)</t>
  </si>
  <si>
    <t>Indicador</t>
  </si>
  <si>
    <t>Valor</t>
  </si>
  <si>
    <t>N° Elementos (n)</t>
  </si>
  <si>
    <t>Índice Consistencia (IC)</t>
  </si>
  <si>
    <t>Índice Aleatorio (IA)</t>
  </si>
  <si>
    <t>Razón Consistencia (RC)</t>
  </si>
  <si>
    <t>EVALUACIÓN</t>
  </si>
  <si>
    <t>Matriz de Pendientes - Método AHP (Paso a Paso CENEPRED)</t>
  </si>
  <si>
    <t>PASOS 1, 2 y 3: Matriz de Comparaciones, Sumas e Inversa (1/Suma)</t>
  </si>
  <si>
    <t>Suma</t>
  </si>
  <si>
    <t>1 / Suma</t>
  </si>
  <si>
    <t>PASOS 4 y 5: Matriz de Normalización y Vector Priorización</t>
  </si>
  <si>
    <t>VECTOR PRIORIZACIÓN</t>
  </si>
  <si>
    <t>CONSISTENCIA - PASOS 1 y 2: Suma Ponderada y Lambda</t>
  </si>
  <si>
    <t>Vector Priorización</t>
  </si>
  <si>
    <t>Vector Suma Ponderada</t>
  </si>
  <si>
    <t>CONSISTENCIA - PASOS 3 y 4: Índices Finales</t>
  </si>
  <si>
    <t>Lambda
(max)</t>
  </si>
  <si>
    <t>Lambda Max Promedio</t>
  </si>
  <si>
    <t>PORCENTAJE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</si>
</sst>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1F497D"/>
      <name val="Aptos Narrow"/>
      <family val="2"/>
      <scheme val="minor"/>
    </font>
    <font>
      <b/>
      <sz val="11"/>
      <color rgb="FF1F497D"/>
      <name val="Aptos Narrow"/>
      <family val="2"/>
      <scheme val="minor"/>
    </font>
    <font>
      <sz val="11"/>
      <color rgb="FF548235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/>
    </xf>
    <xf numFmtId="13" fontId="0" fillId="9" borderId="1" xfId="0" applyNumberFormat="1" applyFill="1" applyBorder="1" applyAlignment="1">
      <alignment horizontal="center"/>
    </xf>
    <xf numFmtId="1" fontId="0" fillId="9" borderId="1" xfId="0" applyNumberFormat="1" applyFill="1" applyBorder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  <xf numFmtId="164" fontId="0" fillId="6" borderId="0" xfId="0" applyNumberFormat="1" applyFill="1" applyAlignment="1">
      <alignment horizontal="center"/>
    </xf>
    <xf numFmtId="10" fontId="0" fillId="4" borderId="1" xfId="0" applyNumberFormat="1" applyFill="1" applyBorder="1" applyAlignment="1">
      <alignment horizontal="center"/>
    </xf>
    <xf numFmtId="10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1DEB2-B085-44E0-9BF9-B8CDE53F4A40}">
  <sheetPr codeName="Hoja1"/>
  <dimension ref="A1:H37"/>
  <sheetViews>
    <sheetView tabSelected="1" zoomScale="160" zoomScaleNormal="160" workbookViewId="0">
      <selection activeCell="H27" sqref="H27"/>
    </sheetView>
  </sheetViews>
  <sheetFormatPr baseColWidth="10" defaultRowHeight="15" x14ac:dyDescent="0.25"/>
  <cols>
    <col min="1" max="1" width="30.7109375" customWidth="1"/>
    <col min="2" max="2" width="18.28515625" bestFit="1" customWidth="1"/>
    <col min="3" max="6" width="12.7109375" customWidth="1"/>
    <col min="7" max="7" width="13.85546875" customWidth="1"/>
  </cols>
  <sheetData>
    <row r="1" spans="1:8" ht="18.75" x14ac:dyDescent="0.3">
      <c r="A1" s="1" t="s">
        <v>17</v>
      </c>
    </row>
    <row r="3" spans="1:8" x14ac:dyDescent="0.25">
      <c r="A3" s="2" t="s">
        <v>18</v>
      </c>
    </row>
    <row r="4" spans="1:8" x14ac:dyDescent="0.25">
      <c r="A4" s="3"/>
      <c r="B4" s="14" t="s">
        <v>0</v>
      </c>
      <c r="C4" s="14" t="s">
        <v>1</v>
      </c>
      <c r="D4" s="14" t="s">
        <v>2</v>
      </c>
      <c r="E4" s="14" t="s">
        <v>3</v>
      </c>
      <c r="F4" s="14" t="s">
        <v>4</v>
      </c>
      <c r="G4" s="8"/>
    </row>
    <row r="5" spans="1:8" x14ac:dyDescent="0.25">
      <c r="A5" s="4" t="s">
        <v>5</v>
      </c>
      <c r="B5" s="22">
        <v>1</v>
      </c>
      <c r="C5" s="23">
        <f>1/2</f>
        <v>0.5</v>
      </c>
      <c r="D5" s="23">
        <f>1/4</f>
        <v>0.25</v>
      </c>
      <c r="E5" s="23">
        <f>1/6</f>
        <v>0.16666666666666666</v>
      </c>
      <c r="F5" s="23">
        <f>1/9</f>
        <v>0.1111111111111111</v>
      </c>
      <c r="G5" s="8"/>
    </row>
    <row r="6" spans="1:8" x14ac:dyDescent="0.25">
      <c r="A6" s="4" t="s">
        <v>6</v>
      </c>
      <c r="B6" s="24">
        <f>1/C5</f>
        <v>2</v>
      </c>
      <c r="C6" s="22">
        <v>1</v>
      </c>
      <c r="D6" s="23">
        <f>1/3</f>
        <v>0.33333333333333331</v>
      </c>
      <c r="E6" s="23">
        <f>1/3</f>
        <v>0.33333333333333331</v>
      </c>
      <c r="F6" s="23">
        <f>1/6</f>
        <v>0.16666666666666666</v>
      </c>
      <c r="G6" s="8"/>
    </row>
    <row r="7" spans="1:8" x14ac:dyDescent="0.25">
      <c r="A7" s="4" t="s">
        <v>7</v>
      </c>
      <c r="B7" s="24">
        <f>1/D5</f>
        <v>4</v>
      </c>
      <c r="C7" s="24">
        <f>1/D6</f>
        <v>3</v>
      </c>
      <c r="D7" s="22">
        <v>1</v>
      </c>
      <c r="E7" s="23">
        <f>1/2</f>
        <v>0.5</v>
      </c>
      <c r="F7" s="23">
        <f>1/5</f>
        <v>0.2</v>
      </c>
      <c r="G7" s="8"/>
    </row>
    <row r="8" spans="1:8" x14ac:dyDescent="0.25">
      <c r="A8" s="4" t="s">
        <v>8</v>
      </c>
      <c r="B8" s="24">
        <f>1/E5</f>
        <v>6</v>
      </c>
      <c r="C8" s="24">
        <f>1/E6</f>
        <v>3</v>
      </c>
      <c r="D8" s="24">
        <f>1/E7</f>
        <v>2</v>
      </c>
      <c r="E8" s="22">
        <v>1</v>
      </c>
      <c r="F8" s="23">
        <f>1/3</f>
        <v>0.33333333333333331</v>
      </c>
      <c r="G8" s="8"/>
    </row>
    <row r="9" spans="1:8" x14ac:dyDescent="0.25">
      <c r="A9" s="4" t="s">
        <v>9</v>
      </c>
      <c r="B9" s="24">
        <f>1/F5</f>
        <v>9</v>
      </c>
      <c r="C9" s="24">
        <f>1/F6</f>
        <v>6</v>
      </c>
      <c r="D9" s="24">
        <f>1/F7</f>
        <v>5</v>
      </c>
      <c r="E9" s="24">
        <f>1/F8</f>
        <v>3</v>
      </c>
      <c r="F9" s="22">
        <v>1</v>
      </c>
      <c r="G9" s="8"/>
    </row>
    <row r="10" spans="1:8" x14ac:dyDescent="0.25">
      <c r="A10" s="5" t="s">
        <v>19</v>
      </c>
      <c r="B10" s="10">
        <f>SUM(B5:B9)</f>
        <v>22</v>
      </c>
      <c r="C10" s="10">
        <f>SUM(C5:C9)</f>
        <v>13.5</v>
      </c>
      <c r="D10" s="10">
        <f>SUM(D5:D9)</f>
        <v>8.5833333333333321</v>
      </c>
      <c r="E10" s="10">
        <f>SUM(E5:E9)</f>
        <v>5</v>
      </c>
      <c r="F10" s="10">
        <f>SUM(F5:F9)</f>
        <v>1.8111111111111111</v>
      </c>
      <c r="G10" s="8"/>
    </row>
    <row r="11" spans="1:8" x14ac:dyDescent="0.25">
      <c r="A11" s="6" t="s">
        <v>20</v>
      </c>
      <c r="B11" s="17">
        <f>1/B10</f>
        <v>4.5454545454545456E-2</v>
      </c>
      <c r="C11" s="17">
        <f>1/C10</f>
        <v>7.407407407407407E-2</v>
      </c>
      <c r="D11" s="17">
        <f>1/D10</f>
        <v>0.11650485436893206</v>
      </c>
      <c r="E11" s="17">
        <f>1/E10</f>
        <v>0.2</v>
      </c>
      <c r="F11" s="17">
        <f>1/F10</f>
        <v>0.55214723926380371</v>
      </c>
      <c r="G11" s="8"/>
    </row>
    <row r="12" spans="1:8" x14ac:dyDescent="0.25">
      <c r="B12" s="8"/>
      <c r="C12" s="8"/>
      <c r="D12" s="8"/>
      <c r="E12" s="8"/>
      <c r="F12" s="8"/>
      <c r="G12" s="8"/>
    </row>
    <row r="13" spans="1:8" x14ac:dyDescent="0.25">
      <c r="A13" s="2" t="s">
        <v>21</v>
      </c>
      <c r="B13" s="8"/>
      <c r="C13" s="8"/>
      <c r="D13" s="8"/>
      <c r="E13" s="8"/>
      <c r="F13" s="8"/>
      <c r="G13" s="8"/>
    </row>
    <row r="14" spans="1:8" ht="30" x14ac:dyDescent="0.25">
      <c r="A14" s="3"/>
      <c r="B14" s="14" t="s">
        <v>0</v>
      </c>
      <c r="C14" s="14" t="s">
        <v>1</v>
      </c>
      <c r="D14" s="14" t="s">
        <v>2</v>
      </c>
      <c r="E14" s="14" t="s">
        <v>3</v>
      </c>
      <c r="F14" s="14" t="s">
        <v>4</v>
      </c>
      <c r="G14" s="19" t="s">
        <v>22</v>
      </c>
      <c r="H14" s="19" t="s">
        <v>29</v>
      </c>
    </row>
    <row r="15" spans="1:8" x14ac:dyDescent="0.25">
      <c r="A15" s="4" t="s">
        <v>0</v>
      </c>
      <c r="B15" s="11">
        <f t="shared" ref="B15:F19" si="0">B5*B$11</f>
        <v>4.5454545454545456E-2</v>
      </c>
      <c r="C15" s="11">
        <f t="shared" si="0"/>
        <v>3.7037037037037035E-2</v>
      </c>
      <c r="D15" s="11">
        <f t="shared" si="0"/>
        <v>2.9126213592233014E-2</v>
      </c>
      <c r="E15" s="11">
        <f t="shared" si="0"/>
        <v>3.3333333333333333E-2</v>
      </c>
      <c r="F15" s="11">
        <f t="shared" si="0"/>
        <v>6.1349693251533742E-2</v>
      </c>
      <c r="G15" s="12">
        <f>AVERAGE(B15:F15)</f>
        <v>4.1260164533736515E-2</v>
      </c>
      <c r="H15" s="28">
        <f>G15</f>
        <v>4.1260164533736515E-2</v>
      </c>
    </row>
    <row r="16" spans="1:8" x14ac:dyDescent="0.25">
      <c r="A16" s="4" t="s">
        <v>1</v>
      </c>
      <c r="B16" s="11">
        <f t="shared" si="0"/>
        <v>9.0909090909090912E-2</v>
      </c>
      <c r="C16" s="11">
        <f t="shared" si="0"/>
        <v>7.407407407407407E-2</v>
      </c>
      <c r="D16" s="11">
        <f t="shared" si="0"/>
        <v>3.8834951456310683E-2</v>
      </c>
      <c r="E16" s="11">
        <f t="shared" si="0"/>
        <v>6.6666666666666666E-2</v>
      </c>
      <c r="F16" s="11">
        <f t="shared" si="0"/>
        <v>9.202453987730061E-2</v>
      </c>
      <c r="G16" s="12">
        <f>AVERAGE(B16:F16)</f>
        <v>7.2501864596688587E-2</v>
      </c>
      <c r="H16" s="28">
        <f t="shared" ref="H16:H19" si="1">G16</f>
        <v>7.2501864596688587E-2</v>
      </c>
    </row>
    <row r="17" spans="1:8" x14ac:dyDescent="0.25">
      <c r="A17" s="4" t="s">
        <v>2</v>
      </c>
      <c r="B17" s="11">
        <f t="shared" si="0"/>
        <v>0.18181818181818182</v>
      </c>
      <c r="C17" s="11">
        <f t="shared" si="0"/>
        <v>0.22222222222222221</v>
      </c>
      <c r="D17" s="11">
        <f t="shared" si="0"/>
        <v>0.11650485436893206</v>
      </c>
      <c r="E17" s="11">
        <f t="shared" si="0"/>
        <v>0.1</v>
      </c>
      <c r="F17" s="11">
        <f t="shared" si="0"/>
        <v>0.11042944785276075</v>
      </c>
      <c r="G17" s="12">
        <f>AVERAGE(B17:F17)</f>
        <v>0.14619494125241936</v>
      </c>
      <c r="H17" s="28">
        <f t="shared" si="1"/>
        <v>0.14619494125241936</v>
      </c>
    </row>
    <row r="18" spans="1:8" x14ac:dyDescent="0.25">
      <c r="A18" s="4" t="s">
        <v>3</v>
      </c>
      <c r="B18" s="11">
        <f t="shared" si="0"/>
        <v>0.27272727272727271</v>
      </c>
      <c r="C18" s="11">
        <f t="shared" si="0"/>
        <v>0.22222222222222221</v>
      </c>
      <c r="D18" s="11">
        <f t="shared" si="0"/>
        <v>0.23300970873786411</v>
      </c>
      <c r="E18" s="11">
        <f t="shared" si="0"/>
        <v>0.2</v>
      </c>
      <c r="F18" s="11">
        <f t="shared" si="0"/>
        <v>0.18404907975460122</v>
      </c>
      <c r="G18" s="12">
        <f>AVERAGE(B18:F18)</f>
        <v>0.22240165668839204</v>
      </c>
      <c r="H18" s="28">
        <f t="shared" si="1"/>
        <v>0.22240165668839204</v>
      </c>
    </row>
    <row r="19" spans="1:8" x14ac:dyDescent="0.25">
      <c r="A19" s="4" t="s">
        <v>4</v>
      </c>
      <c r="B19" s="11">
        <f t="shared" si="0"/>
        <v>0.40909090909090912</v>
      </c>
      <c r="C19" s="11">
        <f t="shared" si="0"/>
        <v>0.44444444444444442</v>
      </c>
      <c r="D19" s="11">
        <f t="shared" si="0"/>
        <v>0.58252427184466027</v>
      </c>
      <c r="E19" s="11">
        <f t="shared" si="0"/>
        <v>0.60000000000000009</v>
      </c>
      <c r="F19" s="11">
        <f t="shared" si="0"/>
        <v>0.55214723926380371</v>
      </c>
      <c r="G19" s="12">
        <f>AVERAGE(B19:F19)</f>
        <v>0.51764137292876344</v>
      </c>
      <c r="H19" s="28">
        <f t="shared" si="1"/>
        <v>0.51764137292876344</v>
      </c>
    </row>
    <row r="20" spans="1:8" x14ac:dyDescent="0.25">
      <c r="A20" s="25"/>
      <c r="B20" s="26">
        <f>SUM(B15:B19)</f>
        <v>1</v>
      </c>
      <c r="C20" s="26">
        <f t="shared" ref="C20:G20" si="2">SUM(C15:C19)</f>
        <v>1</v>
      </c>
      <c r="D20" s="26">
        <f t="shared" si="2"/>
        <v>1</v>
      </c>
      <c r="E20" s="26">
        <f t="shared" si="2"/>
        <v>1</v>
      </c>
      <c r="F20" s="26">
        <f t="shared" si="2"/>
        <v>1</v>
      </c>
      <c r="G20" s="27">
        <f t="shared" si="2"/>
        <v>1</v>
      </c>
      <c r="H20" s="29">
        <f>SUM(H15:H19)</f>
        <v>1</v>
      </c>
    </row>
    <row r="21" spans="1:8" x14ac:dyDescent="0.25">
      <c r="B21" s="8"/>
      <c r="C21" s="8"/>
      <c r="D21" s="8"/>
      <c r="E21" s="8"/>
      <c r="F21" s="8"/>
      <c r="G21" s="8"/>
    </row>
    <row r="22" spans="1:8" x14ac:dyDescent="0.25">
      <c r="A22" s="2" t="s">
        <v>23</v>
      </c>
      <c r="B22" s="8"/>
      <c r="C22" s="8"/>
      <c r="D22" s="8"/>
      <c r="E22" s="8"/>
      <c r="F22" s="8"/>
      <c r="G22" s="8"/>
    </row>
    <row r="23" spans="1:8" ht="30" x14ac:dyDescent="0.25">
      <c r="A23" s="3"/>
      <c r="B23" s="20" t="s">
        <v>24</v>
      </c>
      <c r="C23" s="18" t="s">
        <v>25</v>
      </c>
      <c r="D23" s="21" t="s">
        <v>27</v>
      </c>
      <c r="E23" s="8"/>
      <c r="F23" s="8"/>
      <c r="G23" s="8"/>
    </row>
    <row r="24" spans="1:8" x14ac:dyDescent="0.25">
      <c r="A24" s="4" t="s">
        <v>0</v>
      </c>
      <c r="B24" s="11">
        <f>G15</f>
        <v>4.1260164533736515E-2</v>
      </c>
      <c r="C24" s="11">
        <f>(B5*$G$15)+(C5*$G$16)+(D5*$G$17)+(E5*$G$18)+(F5*$G$19)</f>
        <v>0.20864248302978028</v>
      </c>
      <c r="D24" s="11">
        <f>C24/B24</f>
        <v>5.0567535390990273</v>
      </c>
      <c r="E24" s="8"/>
      <c r="F24" s="8"/>
      <c r="G24" s="8"/>
    </row>
    <row r="25" spans="1:8" x14ac:dyDescent="0.25">
      <c r="A25" s="4" t="s">
        <v>1</v>
      </c>
      <c r="B25" s="11">
        <f>G16</f>
        <v>7.2501864596688587E-2</v>
      </c>
      <c r="C25" s="11">
        <f>(B6*$G$15)+(C6*$G$16)+(D6*$G$17)+(E6*$G$18)+(F6*$G$19)</f>
        <v>0.36416128846589257</v>
      </c>
      <c r="D25" s="11">
        <f>C25/B25</f>
        <v>5.0227851447909533</v>
      </c>
      <c r="E25" s="8"/>
      <c r="F25" s="8"/>
      <c r="G25" s="8"/>
    </row>
    <row r="26" spans="1:8" x14ac:dyDescent="0.25">
      <c r="A26" s="4" t="s">
        <v>2</v>
      </c>
      <c r="B26" s="11">
        <f>G17</f>
        <v>0.14619494125241936</v>
      </c>
      <c r="C26" s="11">
        <f>(B7*$G$15)+(C7*$G$16)+(D7*$G$17)+(E7*$G$18)+(F7*$G$19)</f>
        <v>0.7434702961073798</v>
      </c>
      <c r="D26" s="11">
        <f>C26/B26</f>
        <v>5.085472108256524</v>
      </c>
      <c r="E26" s="8"/>
      <c r="F26" s="8"/>
      <c r="G26" s="8"/>
    </row>
    <row r="27" spans="1:8" x14ac:dyDescent="0.25">
      <c r="A27" s="4" t="s">
        <v>3</v>
      </c>
      <c r="B27" s="11">
        <f>G18</f>
        <v>0.22240165668839204</v>
      </c>
      <c r="C27" s="11">
        <f>(B8*$G$15)+(C8*$G$16)+(D8*$G$17)+(E8*$G$18)+(F8*$G$19)</f>
        <v>1.1524052444953035</v>
      </c>
      <c r="D27" s="11">
        <f>C27/B27</f>
        <v>5.181639658871533</v>
      </c>
      <c r="E27" s="8"/>
      <c r="F27" s="8"/>
      <c r="G27" s="8"/>
    </row>
    <row r="28" spans="1:8" x14ac:dyDescent="0.25">
      <c r="A28" s="4" t="s">
        <v>4</v>
      </c>
      <c r="B28" s="11">
        <f>G19</f>
        <v>0.51764137292876344</v>
      </c>
      <c r="C28" s="11">
        <f>(B9*$G$15)+(C9*$G$16)+(D9*$G$17)+(E9*$G$18)+(F9*$G$19)</f>
        <v>2.7221737176397962</v>
      </c>
      <c r="D28" s="11">
        <f>C28/B28</f>
        <v>5.2588024450943864</v>
      </c>
      <c r="E28" s="8"/>
      <c r="F28" s="8"/>
      <c r="G28" s="8"/>
    </row>
    <row r="29" spans="1:8" x14ac:dyDescent="0.25">
      <c r="B29" s="8"/>
      <c r="C29" s="8"/>
      <c r="D29" s="8"/>
      <c r="E29" s="8"/>
      <c r="F29" s="8"/>
      <c r="G29" s="8"/>
    </row>
    <row r="30" spans="1:8" x14ac:dyDescent="0.25">
      <c r="A30" s="2" t="s">
        <v>26</v>
      </c>
      <c r="B30" s="8"/>
      <c r="C30" s="8"/>
      <c r="D30" s="8"/>
      <c r="E30" s="8"/>
      <c r="F30" s="8"/>
      <c r="G30" s="8"/>
    </row>
    <row r="31" spans="1:8" x14ac:dyDescent="0.25">
      <c r="A31" s="4" t="s">
        <v>10</v>
      </c>
      <c r="B31" s="9" t="s">
        <v>11</v>
      </c>
      <c r="C31" s="8"/>
      <c r="D31" s="8"/>
      <c r="E31" s="8"/>
      <c r="F31" s="8"/>
      <c r="G31" s="8"/>
    </row>
    <row r="32" spans="1:8" x14ac:dyDescent="0.25">
      <c r="A32" s="3" t="s">
        <v>28</v>
      </c>
      <c r="B32" s="13">
        <f>AVERAGE(D24:D28)</f>
        <v>5.1210905792224839</v>
      </c>
      <c r="C32" s="8"/>
      <c r="D32" s="8"/>
      <c r="E32" s="8"/>
      <c r="F32" s="8"/>
      <c r="G32" s="8"/>
    </row>
    <row r="33" spans="1:7" x14ac:dyDescent="0.25">
      <c r="A33" s="3" t="s">
        <v>12</v>
      </c>
      <c r="B33" s="14">
        <v>5</v>
      </c>
      <c r="C33" s="8"/>
      <c r="D33" s="8"/>
      <c r="E33" s="8"/>
      <c r="F33" s="8"/>
      <c r="G33" s="8"/>
    </row>
    <row r="34" spans="1:7" x14ac:dyDescent="0.25">
      <c r="A34" s="3" t="s">
        <v>13</v>
      </c>
      <c r="B34" s="13">
        <f>(B32-B33)/(B33-1)</f>
        <v>3.0272644805620974E-2</v>
      </c>
      <c r="C34" s="8"/>
      <c r="D34" s="8"/>
      <c r="E34" s="8"/>
      <c r="F34" s="8"/>
      <c r="G34" s="8"/>
    </row>
    <row r="35" spans="1:7" x14ac:dyDescent="0.25">
      <c r="A35" s="3" t="s">
        <v>14</v>
      </c>
      <c r="B35" s="13">
        <v>1.115</v>
      </c>
      <c r="C35" s="8"/>
      <c r="D35" s="8"/>
      <c r="E35" s="8"/>
      <c r="F35" s="8"/>
      <c r="G35" s="8"/>
    </row>
    <row r="36" spans="1:7" x14ac:dyDescent="0.25">
      <c r="A36" s="3" t="s">
        <v>15</v>
      </c>
      <c r="B36" s="15">
        <f>B34/B35</f>
        <v>2.7150354085758721E-2</v>
      </c>
      <c r="C36" s="8"/>
      <c r="D36" s="8"/>
      <c r="E36" s="8"/>
      <c r="F36" s="8"/>
      <c r="G36" s="8"/>
    </row>
    <row r="37" spans="1:7" x14ac:dyDescent="0.25">
      <c r="A37" s="7" t="s">
        <v>16</v>
      </c>
      <c r="B37" s="16" t="str">
        <f>IF(B36&lt;0.1, "&lt; 10% (Consistente)", "&gt;= 10% (Revisar)")</f>
        <v>&lt; 10% (Consistente)</v>
      </c>
      <c r="C37" s="8"/>
      <c r="D37" s="8"/>
      <c r="E37" s="8"/>
      <c r="F37" s="8"/>
      <c r="G3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Criollo Carrasco, Gualberto</dc:creator>
  <cp:lastModifiedBy>Criollo Carrasco, Gualberto</cp:lastModifiedBy>
  <dcterms:created xsi:type="dcterms:W3CDTF">2026-06-12T19:08:33Z</dcterms:created>
  <dcterms:modified xsi:type="dcterms:W3CDTF">2026-06-12T19:31:34Z</dcterms:modified>
</cp:coreProperties>
</file>